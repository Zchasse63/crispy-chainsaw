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zach/Downloads/"/>
    </mc:Choice>
  </mc:AlternateContent>
  <xr:revisionPtr revIDLastSave="0" documentId="13_ncr:1_{E8192C2F-F196-8547-A117-4A52EBEABEB1}" xr6:coauthVersionLast="47" xr6:coauthVersionMax="47" xr10:uidLastSave="{00000000-0000-0000-0000-000000000000}"/>
  <bookViews>
    <workbookView xWindow="-19500" yWindow="-21000" windowWidth="36880" windowHeight="21000" tabRatio="500" xr2:uid="{00000000-000D-0000-FFFF-FFFF00000000}"/>
  </bookViews>
  <sheets>
    <sheet name="Product Inventory" sheetId="1" r:id="rId1"/>
  </sheets>
  <definedNames>
    <definedName name="_xlnm._FilterDatabase" localSheetId="0" hidden="1">'Product Inventory'!$A$1:$K$12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2" i="1" l="1"/>
  <c r="L12" i="1"/>
  <c r="K12" i="1"/>
  <c r="P11" i="1"/>
  <c r="L11" i="1"/>
  <c r="K11" i="1"/>
  <c r="P10" i="1"/>
  <c r="L10" i="1"/>
  <c r="K10" i="1"/>
  <c r="P9" i="1"/>
  <c r="L9" i="1"/>
  <c r="K9" i="1"/>
  <c r="P8" i="1"/>
  <c r="L8" i="1"/>
  <c r="K8" i="1"/>
  <c r="P7" i="1"/>
  <c r="L7" i="1"/>
  <c r="K7" i="1"/>
  <c r="P6" i="1"/>
  <c r="L6" i="1"/>
  <c r="K6" i="1"/>
  <c r="P5" i="1"/>
  <c r="L5" i="1"/>
  <c r="K5" i="1"/>
  <c r="P4" i="1"/>
  <c r="L4" i="1"/>
  <c r="K4" i="1"/>
  <c r="P3" i="1"/>
  <c r="L3" i="1"/>
  <c r="K3" i="1"/>
  <c r="P2" i="1"/>
  <c r="L2" i="1"/>
  <c r="K2" i="1"/>
</calcChain>
</file>

<file path=xl/sharedStrings.xml><?xml version="1.0" encoding="utf-8"?>
<sst xmlns="http://schemas.openxmlformats.org/spreadsheetml/2006/main" count="75" uniqueCount="37">
  <si>
    <t>Product Type</t>
  </si>
  <si>
    <t>Size</t>
  </si>
  <si>
    <t>Material</t>
  </si>
  <si>
    <t>Color</t>
  </si>
  <si>
    <t>Qty/Case</t>
  </si>
  <si>
    <t>Brand</t>
  </si>
  <si>
    <t>Cases</t>
  </si>
  <si>
    <t>Skids</t>
  </si>
  <si>
    <t>Cases/Pallet</t>
  </si>
  <si>
    <t>Case Wt (lbs)</t>
  </si>
  <si>
    <t>Pallet Wt (lbs)</t>
  </si>
  <si>
    <t>Pallets (Calc)</t>
  </si>
  <si>
    <t>FOB Location</t>
  </si>
  <si>
    <t>Total Value</t>
  </si>
  <si>
    <t>Cup</t>
  </si>
  <si>
    <t>3.5oz</t>
  </si>
  <si>
    <t>PS</t>
  </si>
  <si>
    <t>7oz</t>
  </si>
  <si>
    <t>SERVOUS</t>
  </si>
  <si>
    <t>9oz</t>
  </si>
  <si>
    <t>Lid</t>
  </si>
  <si>
    <t>0.75-1.0oz</t>
  </si>
  <si>
    <t>PET</t>
  </si>
  <si>
    <t>Clear</t>
  </si>
  <si>
    <t>1.5-2.5oz</t>
  </si>
  <si>
    <t>3.0-5.5oz</t>
  </si>
  <si>
    <t>Portion Cup</t>
  </si>
  <si>
    <t>1oz</t>
  </si>
  <si>
    <t>PP</t>
  </si>
  <si>
    <t>1.5oz</t>
  </si>
  <si>
    <t>2oz</t>
  </si>
  <si>
    <t>Black</t>
  </si>
  <si>
    <t>5.5oz</t>
  </si>
  <si>
    <t>Market Price</t>
  </si>
  <si>
    <t>Gallatin, TN</t>
  </si>
  <si>
    <t>Translucent</t>
  </si>
  <si>
    <t>FOB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</si>
</sst>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mbria"/>
      <family val="1"/>
      <charset val="1"/>
    </font>
    <font>
      <b/>
      <sz val="11"/>
      <name val="Cambria"/>
      <family val="1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zoomScaleNormal="100" workbookViewId="0">
      <selection activeCell="M13" sqref="M13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14.5" customWidth="1"/>
    <col min="5" max="5" width="10" customWidth="1"/>
    <col min="6" max="6" width="12" customWidth="1"/>
    <col min="7" max="7" width="11.1640625" customWidth="1"/>
    <col min="8" max="8" width="8" customWidth="1"/>
    <col min="9" max="10" width="14" customWidth="1"/>
    <col min="11" max="11" width="15" customWidth="1"/>
    <col min="12" max="12" width="16.83203125" customWidth="1"/>
    <col min="13" max="13" width="19.1640625" customWidth="1"/>
    <col min="14" max="14" width="30.83203125" customWidth="1"/>
    <col min="15" max="15" width="23.33203125" customWidth="1"/>
    <col min="16" max="16" width="31.1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1" t="s">
        <v>36</v>
      </c>
      <c r="N1" s="1" t="s">
        <v>33</v>
      </c>
      <c r="O1" s="1" t="s">
        <v>12</v>
      </c>
      <c r="P1" s="1" t="s">
        <v>13</v>
      </c>
    </row>
    <row r="2" spans="1:16" x14ac:dyDescent="0.2">
      <c r="A2" s="4" t="s">
        <v>14</v>
      </c>
      <c r="B2" s="4" t="s">
        <v>15</v>
      </c>
      <c r="C2" s="4" t="s">
        <v>16</v>
      </c>
      <c r="D2" s="4" t="s">
        <v>35</v>
      </c>
      <c r="E2" s="4">
        <v>2500</v>
      </c>
      <c r="F2" s="4"/>
      <c r="G2" s="4">
        <v>967</v>
      </c>
      <c r="H2" s="4">
        <v>22</v>
      </c>
      <c r="I2">
        <v>44</v>
      </c>
      <c r="J2">
        <v>18.88</v>
      </c>
      <c r="K2">
        <f t="shared" ref="K2:K12" si="0">ROUND(J2*I2, 0)</f>
        <v>831</v>
      </c>
      <c r="L2">
        <f t="shared" ref="L2:L12" si="1">ROUND(G2/I2, 2)</f>
        <v>21.98</v>
      </c>
      <c r="M2" s="5">
        <v>26.950000000000003</v>
      </c>
      <c r="N2" s="5">
        <v>54.95</v>
      </c>
      <c r="O2" s="4" t="s">
        <v>34</v>
      </c>
      <c r="P2" s="5">
        <f>G2*I2</f>
        <v>42548</v>
      </c>
    </row>
    <row r="3" spans="1:16" x14ac:dyDescent="0.2">
      <c r="A3" s="4" t="s">
        <v>14</v>
      </c>
      <c r="B3" s="4" t="s">
        <v>17</v>
      </c>
      <c r="C3" s="4" t="s">
        <v>16</v>
      </c>
      <c r="D3" s="4" t="s">
        <v>35</v>
      </c>
      <c r="E3" s="4">
        <v>2500</v>
      </c>
      <c r="F3" s="4" t="s">
        <v>18</v>
      </c>
      <c r="G3" s="4">
        <v>163</v>
      </c>
      <c r="H3" s="4">
        <v>7</v>
      </c>
      <c r="I3">
        <v>24</v>
      </c>
      <c r="J3">
        <v>24.7</v>
      </c>
      <c r="K3">
        <f t="shared" si="0"/>
        <v>593</v>
      </c>
      <c r="L3">
        <f t="shared" si="1"/>
        <v>6.79</v>
      </c>
      <c r="M3" s="5">
        <v>38.445000000000007</v>
      </c>
      <c r="N3" s="5">
        <v>51.95</v>
      </c>
      <c r="O3" s="4" t="s">
        <v>34</v>
      </c>
      <c r="P3" s="5">
        <f>G3*I3</f>
        <v>3912</v>
      </c>
    </row>
    <row r="4" spans="1:16" x14ac:dyDescent="0.2">
      <c r="A4" s="4" t="s">
        <v>14</v>
      </c>
      <c r="B4" s="4" t="s">
        <v>19</v>
      </c>
      <c r="C4" s="4" t="s">
        <v>16</v>
      </c>
      <c r="D4" s="4" t="s">
        <v>35</v>
      </c>
      <c r="E4" s="4">
        <v>2500</v>
      </c>
      <c r="F4" s="4" t="s">
        <v>18</v>
      </c>
      <c r="G4" s="4">
        <v>100</v>
      </c>
      <c r="H4" s="4">
        <v>8</v>
      </c>
      <c r="I4">
        <v>12</v>
      </c>
      <c r="J4">
        <v>31</v>
      </c>
      <c r="K4">
        <f t="shared" si="0"/>
        <v>372</v>
      </c>
      <c r="L4">
        <f t="shared" si="1"/>
        <v>8.33</v>
      </c>
      <c r="M4" s="5">
        <v>51.535000000000004</v>
      </c>
      <c r="N4" s="5">
        <v>59.95</v>
      </c>
      <c r="O4" s="4" t="s">
        <v>34</v>
      </c>
      <c r="P4" s="5">
        <f>G4*I4</f>
        <v>1200</v>
      </c>
    </row>
    <row r="5" spans="1:16" x14ac:dyDescent="0.2">
      <c r="A5" s="4" t="s">
        <v>20</v>
      </c>
      <c r="B5" s="4" t="s">
        <v>21</v>
      </c>
      <c r="C5" s="4" t="s">
        <v>22</v>
      </c>
      <c r="D5" s="4" t="s">
        <v>23</v>
      </c>
      <c r="E5" s="4">
        <v>2500</v>
      </c>
      <c r="F5" s="4" t="s">
        <v>18</v>
      </c>
      <c r="G5" s="4">
        <v>362</v>
      </c>
      <c r="H5" s="4">
        <v>5</v>
      </c>
      <c r="I5">
        <v>72</v>
      </c>
      <c r="J5">
        <v>7</v>
      </c>
      <c r="K5">
        <f t="shared" si="0"/>
        <v>504</v>
      </c>
      <c r="L5">
        <f t="shared" si="1"/>
        <v>5.03</v>
      </c>
      <c r="M5" s="5">
        <v>8.6460000000000008</v>
      </c>
      <c r="N5" s="5">
        <v>14.95</v>
      </c>
      <c r="O5" s="4" t="s">
        <v>34</v>
      </c>
      <c r="P5" s="5">
        <f>G5*I5</f>
        <v>26064</v>
      </c>
    </row>
    <row r="6" spans="1:16" x14ac:dyDescent="0.2">
      <c r="A6" s="4" t="s">
        <v>20</v>
      </c>
      <c r="B6" s="4" t="s">
        <v>24</v>
      </c>
      <c r="C6" s="4" t="s">
        <v>22</v>
      </c>
      <c r="D6" s="4" t="s">
        <v>23</v>
      </c>
      <c r="E6" s="4">
        <v>2500</v>
      </c>
      <c r="F6" s="4"/>
      <c r="G6" s="4">
        <v>35</v>
      </c>
      <c r="H6" s="4">
        <v>1</v>
      </c>
      <c r="I6">
        <v>72</v>
      </c>
      <c r="J6">
        <v>8</v>
      </c>
      <c r="K6">
        <f t="shared" si="0"/>
        <v>576</v>
      </c>
      <c r="L6">
        <f t="shared" si="1"/>
        <v>0.49</v>
      </c>
      <c r="M6" s="5">
        <v>20.350000000000001</v>
      </c>
      <c r="N6" s="5">
        <v>19.95</v>
      </c>
      <c r="O6" s="4" t="s">
        <v>34</v>
      </c>
      <c r="P6" s="5">
        <f>G6*I6</f>
        <v>2520</v>
      </c>
    </row>
    <row r="7" spans="1:16" x14ac:dyDescent="0.2">
      <c r="A7" s="4" t="s">
        <v>20</v>
      </c>
      <c r="B7" s="4" t="s">
        <v>25</v>
      </c>
      <c r="C7" s="4" t="s">
        <v>22</v>
      </c>
      <c r="D7" s="4" t="s">
        <v>23</v>
      </c>
      <c r="E7" s="4">
        <v>2500</v>
      </c>
      <c r="F7" s="4"/>
      <c r="G7" s="4">
        <v>111</v>
      </c>
      <c r="H7" s="4">
        <v>3</v>
      </c>
      <c r="I7">
        <v>54</v>
      </c>
      <c r="J7">
        <v>10</v>
      </c>
      <c r="K7">
        <f t="shared" si="0"/>
        <v>540</v>
      </c>
      <c r="L7">
        <f t="shared" si="1"/>
        <v>2.06</v>
      </c>
      <c r="M7" s="5">
        <v>24.64</v>
      </c>
      <c r="N7" s="5">
        <v>28.95</v>
      </c>
      <c r="O7" s="4" t="s">
        <v>34</v>
      </c>
      <c r="P7" s="5">
        <f>G7*I7</f>
        <v>5994</v>
      </c>
    </row>
    <row r="8" spans="1:16" x14ac:dyDescent="0.2">
      <c r="A8" s="4" t="s">
        <v>26</v>
      </c>
      <c r="B8" s="4" t="s">
        <v>27</v>
      </c>
      <c r="C8" s="4" t="s">
        <v>28</v>
      </c>
      <c r="D8" s="4" t="s">
        <v>23</v>
      </c>
      <c r="E8" s="4">
        <v>2500</v>
      </c>
      <c r="F8" s="4" t="s">
        <v>18</v>
      </c>
      <c r="G8" s="4">
        <v>257</v>
      </c>
      <c r="H8" s="4">
        <v>3</v>
      </c>
      <c r="I8">
        <v>72</v>
      </c>
      <c r="J8">
        <v>8</v>
      </c>
      <c r="K8">
        <f t="shared" si="0"/>
        <v>576</v>
      </c>
      <c r="L8">
        <f t="shared" si="1"/>
        <v>3.57</v>
      </c>
      <c r="M8" s="5">
        <v>13.255000000000003</v>
      </c>
      <c r="N8" s="5">
        <v>16</v>
      </c>
      <c r="O8" s="4" t="s">
        <v>34</v>
      </c>
      <c r="P8" s="5">
        <f>G8*I8</f>
        <v>18504</v>
      </c>
    </row>
    <row r="9" spans="1:16" x14ac:dyDescent="0.2">
      <c r="A9" s="4" t="s">
        <v>26</v>
      </c>
      <c r="B9" s="4" t="s">
        <v>29</v>
      </c>
      <c r="C9" s="4" t="s">
        <v>28</v>
      </c>
      <c r="D9" s="4" t="s">
        <v>23</v>
      </c>
      <c r="E9" s="4">
        <v>2500</v>
      </c>
      <c r="F9" s="4"/>
      <c r="G9" s="4">
        <v>79</v>
      </c>
      <c r="H9" s="4">
        <v>4</v>
      </c>
      <c r="I9">
        <v>72</v>
      </c>
      <c r="J9">
        <v>10</v>
      </c>
      <c r="K9">
        <f t="shared" si="0"/>
        <v>720</v>
      </c>
      <c r="L9">
        <f t="shared" si="1"/>
        <v>1.1000000000000001</v>
      </c>
      <c r="M9" s="5">
        <v>12.793000000000001</v>
      </c>
      <c r="N9" s="5">
        <v>17.95</v>
      </c>
      <c r="O9" s="4" t="s">
        <v>34</v>
      </c>
      <c r="P9" s="5">
        <f>G9*I9</f>
        <v>5688</v>
      </c>
    </row>
    <row r="10" spans="1:16" x14ac:dyDescent="0.2">
      <c r="A10" s="4" t="s">
        <v>26</v>
      </c>
      <c r="B10" s="4" t="s">
        <v>30</v>
      </c>
      <c r="C10" s="4" t="s">
        <v>28</v>
      </c>
      <c r="D10" s="6" t="s">
        <v>31</v>
      </c>
      <c r="E10" s="4">
        <v>2500</v>
      </c>
      <c r="F10" s="4"/>
      <c r="G10" s="4">
        <v>295</v>
      </c>
      <c r="H10" s="4">
        <v>4</v>
      </c>
      <c r="I10">
        <v>72</v>
      </c>
      <c r="J10">
        <v>12</v>
      </c>
      <c r="K10">
        <f t="shared" si="0"/>
        <v>864</v>
      </c>
      <c r="L10">
        <f t="shared" si="1"/>
        <v>4.0999999999999996</v>
      </c>
      <c r="M10" s="5">
        <v>13.200000000000001</v>
      </c>
      <c r="N10" s="5">
        <v>19.95</v>
      </c>
      <c r="O10" s="4" t="s">
        <v>34</v>
      </c>
      <c r="P10" s="5">
        <f>G10*I10</f>
        <v>21240</v>
      </c>
    </row>
    <row r="11" spans="1:16" x14ac:dyDescent="0.2">
      <c r="A11" s="4" t="s">
        <v>26</v>
      </c>
      <c r="B11" s="4" t="s">
        <v>30</v>
      </c>
      <c r="C11" s="4" t="s">
        <v>28</v>
      </c>
      <c r="D11" s="4" t="s">
        <v>23</v>
      </c>
      <c r="E11" s="4">
        <v>2500</v>
      </c>
      <c r="F11" s="4"/>
      <c r="G11" s="4">
        <v>401</v>
      </c>
      <c r="H11" s="4">
        <v>5</v>
      </c>
      <c r="I11">
        <v>72</v>
      </c>
      <c r="J11">
        <v>12</v>
      </c>
      <c r="K11">
        <f t="shared" si="0"/>
        <v>864</v>
      </c>
      <c r="L11">
        <f t="shared" si="1"/>
        <v>5.57</v>
      </c>
      <c r="M11" s="5">
        <v>13.882</v>
      </c>
      <c r="N11" s="5">
        <v>19.95</v>
      </c>
      <c r="O11" s="4" t="s">
        <v>34</v>
      </c>
      <c r="P11" s="5">
        <f>G11*I11</f>
        <v>28872</v>
      </c>
    </row>
    <row r="12" spans="1:16" x14ac:dyDescent="0.2">
      <c r="A12" s="4" t="s">
        <v>26</v>
      </c>
      <c r="B12" s="4" t="s">
        <v>32</v>
      </c>
      <c r="C12" s="4" t="s">
        <v>28</v>
      </c>
      <c r="D12" s="6" t="s">
        <v>31</v>
      </c>
      <c r="E12" s="4">
        <v>2500</v>
      </c>
      <c r="F12" s="4"/>
      <c r="G12" s="4">
        <v>298</v>
      </c>
      <c r="H12" s="4">
        <v>6</v>
      </c>
      <c r="I12">
        <v>45</v>
      </c>
      <c r="J12">
        <v>24</v>
      </c>
      <c r="K12">
        <f t="shared" si="0"/>
        <v>1080</v>
      </c>
      <c r="L12">
        <f t="shared" si="1"/>
        <v>6.62</v>
      </c>
      <c r="M12" s="5">
        <v>26.950000000000003</v>
      </c>
      <c r="N12" s="5">
        <v>39.950000000000003</v>
      </c>
      <c r="O12" s="4" t="s">
        <v>34</v>
      </c>
      <c r="P12" s="5">
        <f>G12*I12</f>
        <v>13410</v>
      </c>
    </row>
  </sheetData>
  <autoFilter ref="A1:K12" xr:uid="{00000000-0009-0000-0000-000000000000}">
    <sortState xmlns:xlrd2="http://schemas.microsoft.com/office/spreadsheetml/2017/richdata2" ref="A2:K12">
      <sortCondition ref="A2:A12"/>
    </sortState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Zach Chasse</cp:lastModifiedBy>
  <cp:revision>0</cp:revision>
  <dcterms:created xsi:type="dcterms:W3CDTF">2026-01-23T17:35:34Z</dcterms:created>
  <dcterms:modified xsi:type="dcterms:W3CDTF">2026-01-23T19:39:34Z</dcterms:modified>
  <dc:language>en-US</dc:language>
</cp:coreProperties>
</file>